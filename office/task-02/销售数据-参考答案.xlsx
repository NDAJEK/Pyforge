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明细" sheetId="1" r:id="rId1"/>
    <sheet name="部门汇总" sheetId="2" r:id="rId2"/>
  </sheet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等线"/>
    </font>
    <font>
      <b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常规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 activeCell="A2" sqref="A2"/>
    </sheetView>
  </sheetViews>
  <sheetFormatPr defaultRowHeight="15"/>
  <autoFilter ref="A1:G21"/>
  <sheetData>
    <row r="1">
      <c r="A1" s="2" t="inlineStr">
        <is>
          <t>序号</t>
        </is>
      </c>
      <c r="B1" s="2" t="inlineStr">
        <is>
          <t>日期</t>
        </is>
      </c>
      <c r="C1" s="2" t="inlineStr">
        <is>
          <t>部门</t>
        </is>
      </c>
      <c r="D1" s="2" t="inlineStr">
        <is>
          <t>产品</t>
        </is>
      </c>
      <c r="E1" s="2" t="inlineStr">
        <is>
          <t>数量</t>
        </is>
      </c>
      <c r="F1" s="2" t="inlineStr">
        <is>
          <t>单价</t>
        </is>
      </c>
      <c r="G1" s="2" t="inlineStr">
        <is>
          <t>金额</t>
        </is>
      </c>
    </row>
    <row r="2">
      <c r="A2">
        <v>11</v>
      </c>
      <c r="B2" t="inlineStr">
        <is>
          <t>2026-07-11</t>
        </is>
      </c>
      <c r="C2" t="inlineStr">
        <is>
          <t>销售二部</t>
        </is>
      </c>
      <c r="D2" t="inlineStr">
        <is>
          <t>显示器</t>
        </is>
      </c>
      <c r="E2">
        <v>39</v>
      </c>
      <c r="F2">
        <v>1690</v>
      </c>
      <c r="G2" s="1">
        <f>E2*F2</f>
        <v>65910</v>
      </c>
    </row>
    <row r="3">
      <c r="A3">
        <v>10</v>
      </c>
      <c r="B3" t="inlineStr">
        <is>
          <t>2026-06-10</t>
        </is>
      </c>
      <c r="C3" t="inlineStr">
        <is>
          <t>销售一部</t>
        </is>
      </c>
      <c r="D3" t="inlineStr">
        <is>
          <t>笔记本电脑</t>
        </is>
      </c>
      <c r="E3">
        <v>32</v>
      </c>
      <c r="F3">
        <v>1553</v>
      </c>
      <c r="G3" s="1">
        <f>E3*F3</f>
        <v>49696</v>
      </c>
    </row>
    <row r="4">
      <c r="A4">
        <v>20</v>
      </c>
      <c r="B4" t="inlineStr">
        <is>
          <t>2026-04-20</t>
        </is>
      </c>
      <c r="C4" t="inlineStr">
        <is>
          <t>销售二部</t>
        </is>
      </c>
      <c r="D4" t="inlineStr">
        <is>
          <t>显示器</t>
        </is>
      </c>
      <c r="E4">
        <v>28</v>
      </c>
      <c r="F4">
        <v>1523</v>
      </c>
      <c r="G4" s="1">
        <f>E4*F4</f>
        <v>42644</v>
      </c>
    </row>
    <row r="5">
      <c r="A5">
        <v>6</v>
      </c>
      <c r="B5" t="inlineStr">
        <is>
          <t>2026-08-06</t>
        </is>
      </c>
      <c r="C5" t="inlineStr">
        <is>
          <t>销售三部</t>
        </is>
      </c>
      <c r="D5" t="inlineStr">
        <is>
          <t>打印机</t>
        </is>
      </c>
      <c r="E5">
        <v>41</v>
      </c>
      <c r="F5">
        <v>1005</v>
      </c>
      <c r="G5" s="1">
        <f>E5*F5</f>
        <v>41205</v>
      </c>
    </row>
    <row r="6">
      <c r="A6">
        <v>16</v>
      </c>
      <c r="B6" t="inlineStr">
        <is>
          <t>2026-06-16</t>
        </is>
      </c>
      <c r="C6" t="inlineStr">
        <is>
          <t>销售一部</t>
        </is>
      </c>
      <c r="D6" t="inlineStr">
        <is>
          <t>笔记本电脑</t>
        </is>
      </c>
      <c r="E6">
        <v>37</v>
      </c>
      <c r="F6">
        <v>975</v>
      </c>
      <c r="G6" s="1">
        <f>E6*F6</f>
        <v>36075</v>
      </c>
    </row>
    <row r="7">
      <c r="A7">
        <v>9</v>
      </c>
      <c r="B7" t="inlineStr">
        <is>
          <t>2026-05-09</t>
        </is>
      </c>
      <c r="C7" t="inlineStr">
        <is>
          <t>销售三部</t>
        </is>
      </c>
      <c r="D7" t="inlineStr">
        <is>
          <t>打印机</t>
        </is>
      </c>
      <c r="E7">
        <v>25</v>
      </c>
      <c r="F7">
        <v>1416</v>
      </c>
      <c r="G7" s="1">
        <f>E7*F7</f>
        <v>35400</v>
      </c>
    </row>
    <row r="8">
      <c r="A8">
        <v>5</v>
      </c>
      <c r="B8" t="inlineStr">
        <is>
          <t>2026-07-05</t>
        </is>
      </c>
      <c r="C8" t="inlineStr">
        <is>
          <t>销售二部</t>
        </is>
      </c>
      <c r="D8" t="inlineStr">
        <is>
          <t>显示器</t>
        </is>
      </c>
      <c r="E8">
        <v>34</v>
      </c>
      <c r="F8">
        <v>868</v>
      </c>
      <c r="G8" s="1">
        <f>E8*F8</f>
        <v>29512</v>
      </c>
    </row>
    <row r="9">
      <c r="A9">
        <v>19</v>
      </c>
      <c r="B9" t="inlineStr">
        <is>
          <t>2026-03-19</t>
        </is>
      </c>
      <c r="C9" t="inlineStr">
        <is>
          <t>销售一部</t>
        </is>
      </c>
      <c r="D9" t="inlineStr">
        <is>
          <t>笔记本电脑</t>
        </is>
      </c>
      <c r="E9">
        <v>21</v>
      </c>
      <c r="F9">
        <v>1386</v>
      </c>
      <c r="G9" s="1">
        <f>E9*F9</f>
        <v>29106</v>
      </c>
    </row>
    <row r="10">
      <c r="A10">
        <v>15</v>
      </c>
      <c r="B10" t="inlineStr">
        <is>
          <t>2026-05-15</t>
        </is>
      </c>
      <c r="C10" t="inlineStr">
        <is>
          <t>销售三部</t>
        </is>
      </c>
      <c r="D10" t="inlineStr">
        <is>
          <t>打印机</t>
        </is>
      </c>
      <c r="E10">
        <v>30</v>
      </c>
      <c r="F10">
        <v>838</v>
      </c>
      <c r="G10" s="1">
        <f>E10*F10</f>
        <v>25140</v>
      </c>
    </row>
    <row r="11">
      <c r="A11">
        <v>8</v>
      </c>
      <c r="B11" t="inlineStr">
        <is>
          <t>2026-04-08</t>
        </is>
      </c>
      <c r="C11" t="inlineStr">
        <is>
          <t>销售二部</t>
        </is>
      </c>
      <c r="D11" t="inlineStr">
        <is>
          <t>显示器</t>
        </is>
      </c>
      <c r="E11">
        <v>18</v>
      </c>
      <c r="F11">
        <v>1279</v>
      </c>
      <c r="G11" s="1">
        <f>E11*F11</f>
        <v>23022</v>
      </c>
    </row>
    <row r="12">
      <c r="A12">
        <v>4</v>
      </c>
      <c r="B12" t="inlineStr">
        <is>
          <t>2026-06-04</t>
        </is>
      </c>
      <c r="C12" t="inlineStr">
        <is>
          <t>销售一部</t>
        </is>
      </c>
      <c r="D12" t="inlineStr">
        <is>
          <t>笔记本电脑</t>
        </is>
      </c>
      <c r="E12">
        <v>27</v>
      </c>
      <c r="F12">
        <v>731</v>
      </c>
      <c r="G12" s="1">
        <f>E12*F12</f>
        <v>19737</v>
      </c>
    </row>
    <row r="13">
      <c r="A13">
        <v>18</v>
      </c>
      <c r="B13" t="inlineStr">
        <is>
          <t>2026-08-18</t>
        </is>
      </c>
      <c r="C13" t="inlineStr">
        <is>
          <t>销售三部</t>
        </is>
      </c>
      <c r="D13" t="inlineStr">
        <is>
          <t>打印机</t>
        </is>
      </c>
      <c r="E13">
        <v>14</v>
      </c>
      <c r="F13">
        <v>1249</v>
      </c>
      <c r="G13" s="1">
        <f>E13*F13</f>
        <v>17486</v>
      </c>
    </row>
    <row r="14">
      <c r="A14">
        <v>14</v>
      </c>
      <c r="B14" t="inlineStr">
        <is>
          <t>2026-04-14</t>
        </is>
      </c>
      <c r="C14" t="inlineStr">
        <is>
          <t>销售二部</t>
        </is>
      </c>
      <c r="D14" t="inlineStr">
        <is>
          <t>显示器</t>
        </is>
      </c>
      <c r="E14">
        <v>23</v>
      </c>
      <c r="F14">
        <v>701</v>
      </c>
      <c r="G14" s="1">
        <f>E14*F14</f>
        <v>16123</v>
      </c>
    </row>
    <row r="15">
      <c r="A15">
        <v>7</v>
      </c>
      <c r="B15" t="inlineStr">
        <is>
          <t>2026-03-07</t>
        </is>
      </c>
      <c r="C15" t="inlineStr">
        <is>
          <t>销售一部</t>
        </is>
      </c>
      <c r="D15" t="inlineStr">
        <is>
          <t>笔记本电脑</t>
        </is>
      </c>
      <c r="E15">
        <v>11</v>
      </c>
      <c r="F15">
        <v>1142</v>
      </c>
      <c r="G15" s="1">
        <f>E15*F15</f>
        <v>12562</v>
      </c>
    </row>
    <row r="16">
      <c r="A16">
        <v>3</v>
      </c>
      <c r="B16" t="inlineStr">
        <is>
          <t>2026-05-03</t>
        </is>
      </c>
      <c r="C16" t="inlineStr">
        <is>
          <t>销售三部</t>
        </is>
      </c>
      <c r="D16" t="inlineStr">
        <is>
          <t>打印机</t>
        </is>
      </c>
      <c r="E16">
        <v>20</v>
      </c>
      <c r="F16">
        <v>594</v>
      </c>
      <c r="G16" s="1">
        <f>E16*F16</f>
        <v>11880</v>
      </c>
    </row>
    <row r="17">
      <c r="A17">
        <v>13</v>
      </c>
      <c r="B17" t="inlineStr">
        <is>
          <t>2026-03-13</t>
        </is>
      </c>
      <c r="C17" t="inlineStr">
        <is>
          <t>销售一部</t>
        </is>
      </c>
      <c r="D17" t="inlineStr">
        <is>
          <t>笔记本电脑</t>
        </is>
      </c>
      <c r="E17">
        <v>16</v>
      </c>
      <c r="F17">
        <v>564</v>
      </c>
      <c r="G17" s="1">
        <f>E17*F17</f>
        <v>9024</v>
      </c>
    </row>
    <row r="18">
      <c r="A18">
        <v>17</v>
      </c>
      <c r="B18" t="inlineStr">
        <is>
          <t>2026-07-17</t>
        </is>
      </c>
      <c r="C18" t="inlineStr">
        <is>
          <t>销售二部</t>
        </is>
      </c>
      <c r="D18" t="inlineStr">
        <is>
          <t>显示器</t>
        </is>
      </c>
      <c r="E18">
        <v>7</v>
      </c>
      <c r="F18">
        <v>1112</v>
      </c>
      <c r="G18" s="1">
        <f>E18*F18</f>
        <v>7784</v>
      </c>
    </row>
    <row r="19">
      <c r="A19">
        <v>2</v>
      </c>
      <c r="B19" t="inlineStr">
        <is>
          <t>2026-04-02</t>
        </is>
      </c>
      <c r="C19" t="inlineStr">
        <is>
          <t>销售二部</t>
        </is>
      </c>
      <c r="D19" t="inlineStr">
        <is>
          <t>显示器</t>
        </is>
      </c>
      <c r="E19">
        <v>13</v>
      </c>
      <c r="F19">
        <v>457</v>
      </c>
      <c r="G19" s="1">
        <f>E19*F19</f>
        <v>5941</v>
      </c>
    </row>
    <row r="20">
      <c r="A20">
        <v>12</v>
      </c>
      <c r="B20" t="inlineStr">
        <is>
          <t>2026-08-12</t>
        </is>
      </c>
      <c r="C20" t="inlineStr">
        <is>
          <t>销售三部</t>
        </is>
      </c>
      <c r="D20" t="inlineStr">
        <is>
          <t>打印机</t>
        </is>
      </c>
      <c r="E20">
        <v>9</v>
      </c>
      <c r="F20">
        <v>427</v>
      </c>
      <c r="G20" s="1">
        <f>E20*F20</f>
        <v>3843</v>
      </c>
    </row>
    <row r="21">
      <c r="A21">
        <v>1</v>
      </c>
      <c r="B21" t="inlineStr">
        <is>
          <t>2026-03-01</t>
        </is>
      </c>
      <c r="C21" t="inlineStr">
        <is>
          <t>销售一部</t>
        </is>
      </c>
      <c r="D21" t="inlineStr">
        <is>
          <t>笔记本电脑</t>
        </is>
      </c>
      <c r="E21">
        <v>6</v>
      </c>
      <c r="F21">
        <v>320</v>
      </c>
      <c r="G21" s="1">
        <f>E21*F21</f>
        <v>1920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>
      <c r="A1" s="2" t="inlineStr">
        <is>
          <t>部门</t>
        </is>
      </c>
      <c r="B1" s="2" t="inlineStr">
        <is>
          <t>销售额</t>
        </is>
      </c>
    </row>
    <row r="2">
      <c r="A2" t="inlineStr">
        <is>
          <t>销售一部</t>
        </is>
      </c>
      <c r="B2" s="1">
        <f>SUMIF('销售明细'!$C$2:$C$21,A2,'销售明细'!$G$2:$G$21)</f>
        <v>158120</v>
      </c>
    </row>
    <row r="3">
      <c r="A3" t="inlineStr">
        <is>
          <t>销售二部</t>
        </is>
      </c>
      <c r="B3" s="1">
        <f>SUMIF('销售明细'!$C$2:$C$21,A3,'销售明细'!$G$2:$G$21)</f>
        <v>190936</v>
      </c>
    </row>
    <row r="4">
      <c r="A4" t="inlineStr">
        <is>
          <t>销售三部</t>
        </is>
      </c>
      <c r="B4" s="1">
        <f>SUMIF('销售明细'!$C$2:$C$21,A4,'销售明细'!$G$2:$G$21)</f>
        <v>134954</v>
      </c>
    </row>
  </sheetData>
</worksheet>
</file>